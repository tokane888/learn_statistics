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tea\Desktop\learn\statistics\統計学入門\"/>
    </mc:Choice>
  </mc:AlternateContent>
  <xr:revisionPtr revIDLastSave="0" documentId="13_ncr:1_{D9819BFB-3F31-4DE3-BE4A-7BDAF6736A52}" xr6:coauthVersionLast="45" xr6:coauthVersionMax="45" xr10:uidLastSave="{00000000-0000-0000-0000-000000000000}"/>
  <bookViews>
    <workbookView xWindow="735" yWindow="735" windowWidth="12480" windowHeight="2730" xr2:uid="{E2BC78AF-2F94-4766-931B-D12CED6713E6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7" i="1" l="1"/>
  <c r="F35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4" i="1"/>
  <c r="K9" i="1" a="1"/>
  <c r="J9" i="1" a="1"/>
  <c r="I9" i="1" a="1"/>
  <c r="L8" i="1" a="1"/>
  <c r="J8" i="1" a="1"/>
  <c r="I8" i="1" a="1"/>
  <c r="L7" i="1" a="1"/>
  <c r="K7" i="1" a="1"/>
  <c r="I7" i="1" a="1"/>
  <c r="L6" i="1" a="1"/>
  <c r="K6" i="1" a="1"/>
  <c r="J6" i="1" a="1"/>
  <c r="F38" i="1" a="1"/>
  <c r="J9" i="1" l="1"/>
  <c r="K9" i="1"/>
  <c r="I9" i="1"/>
  <c r="J8" i="1"/>
  <c r="L8" i="1"/>
  <c r="I8" i="1"/>
  <c r="K7" i="1"/>
  <c r="L7" i="1"/>
  <c r="I7" i="1"/>
  <c r="K6" i="1"/>
  <c r="L6" i="1"/>
  <c r="J6" i="1"/>
  <c r="F38" i="1"/>
  <c r="B3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<sst xmlns="http://schemas.openxmlformats.org/spreadsheetml/2006/main" count="48" uniqueCount="39">
  <si>
    <t>原子力</t>
    <rPh sb="0" eb="3">
      <t>ゲンシリョク</t>
    </rPh>
    <phoneticPr fontId="1"/>
  </si>
  <si>
    <t>自動車</t>
    <rPh sb="0" eb="3">
      <t>ジドウシャ</t>
    </rPh>
    <phoneticPr fontId="1"/>
  </si>
  <si>
    <t>銃</t>
    <rPh sb="0" eb="1">
      <t>ジュウ</t>
    </rPh>
    <phoneticPr fontId="1"/>
  </si>
  <si>
    <t>喫煙</t>
    <rPh sb="0" eb="2">
      <t>キツエン</t>
    </rPh>
    <phoneticPr fontId="1"/>
  </si>
  <si>
    <t>バイク</t>
    <phoneticPr fontId="1"/>
  </si>
  <si>
    <t>アルコール飲料</t>
    <rPh sb="5" eb="7">
      <t>インリョウ</t>
    </rPh>
    <phoneticPr fontId="1"/>
  </si>
  <si>
    <t>自家用飛行機</t>
    <rPh sb="0" eb="6">
      <t>ジカヨウヒコウキ</t>
    </rPh>
    <phoneticPr fontId="1"/>
  </si>
  <si>
    <t>警察職務</t>
    <rPh sb="0" eb="4">
      <t>ケイサツショクム</t>
    </rPh>
    <phoneticPr fontId="1"/>
  </si>
  <si>
    <t>殺虫剤</t>
    <rPh sb="0" eb="3">
      <t>サッチュウザイ</t>
    </rPh>
    <phoneticPr fontId="1"/>
  </si>
  <si>
    <t>外科手術</t>
    <rPh sb="0" eb="4">
      <t>ゲカシュジュツ</t>
    </rPh>
    <phoneticPr fontId="1"/>
  </si>
  <si>
    <t>消防職務</t>
    <rPh sb="0" eb="4">
      <t>ショウボウショクム</t>
    </rPh>
    <phoneticPr fontId="1"/>
  </si>
  <si>
    <t>大規模建設工事</t>
    <rPh sb="0" eb="7">
      <t>ダイキボケンセツコウジ</t>
    </rPh>
    <phoneticPr fontId="1"/>
  </si>
  <si>
    <t>狩猟</t>
    <rPh sb="0" eb="2">
      <t>シュリョウ</t>
    </rPh>
    <phoneticPr fontId="1"/>
  </si>
  <si>
    <t>スプレー</t>
    <phoneticPr fontId="1"/>
  </si>
  <si>
    <t>登山</t>
    <rPh sb="0" eb="2">
      <t>トザン</t>
    </rPh>
    <phoneticPr fontId="1"/>
  </si>
  <si>
    <t>自転車</t>
    <rPh sb="0" eb="3">
      <t>ジテンシャ</t>
    </rPh>
    <phoneticPr fontId="1"/>
  </si>
  <si>
    <t>飛行機</t>
    <rPh sb="0" eb="3">
      <t>ヒコウキ</t>
    </rPh>
    <phoneticPr fontId="1"/>
  </si>
  <si>
    <t>電気</t>
    <rPh sb="0" eb="2">
      <t>デンキ</t>
    </rPh>
    <phoneticPr fontId="1"/>
  </si>
  <si>
    <t>水泳</t>
    <rPh sb="0" eb="2">
      <t>スイエイ</t>
    </rPh>
    <phoneticPr fontId="1"/>
  </si>
  <si>
    <t>避妊ピル</t>
    <rPh sb="0" eb="2">
      <t>ヒニン</t>
    </rPh>
    <phoneticPr fontId="1"/>
  </si>
  <si>
    <t>スキー</t>
    <phoneticPr fontId="1"/>
  </si>
  <si>
    <t>X線</t>
    <rPh sb="1" eb="2">
      <t>セン</t>
    </rPh>
    <phoneticPr fontId="1"/>
  </si>
  <si>
    <t>フットボール</t>
    <phoneticPr fontId="1"/>
  </si>
  <si>
    <t>鉄道</t>
    <rPh sb="0" eb="2">
      <t>テツドウ</t>
    </rPh>
    <phoneticPr fontId="1"/>
  </si>
  <si>
    <t>食品添加物</t>
    <rPh sb="0" eb="2">
      <t>ショクヒン</t>
    </rPh>
    <rPh sb="2" eb="5">
      <t>テンカブツ</t>
    </rPh>
    <phoneticPr fontId="1"/>
  </si>
  <si>
    <t>自動芝刈り機</t>
    <rPh sb="0" eb="4">
      <t>ジドウシバカ</t>
    </rPh>
    <rPh sb="5" eb="6">
      <t>キ</t>
    </rPh>
    <phoneticPr fontId="1"/>
  </si>
  <si>
    <t>抗生物質</t>
    <rPh sb="0" eb="4">
      <t>コウセイブッシツ</t>
    </rPh>
    <phoneticPr fontId="1"/>
  </si>
  <si>
    <t>家庭用具</t>
    <rPh sb="0" eb="4">
      <t>カテイヨウグ</t>
    </rPh>
    <phoneticPr fontId="1"/>
  </si>
  <si>
    <t>予防注射</t>
    <rPh sb="0" eb="4">
      <t>ヨボウチュウシャ</t>
    </rPh>
    <phoneticPr fontId="1"/>
  </si>
  <si>
    <t>女性有権者団体</t>
    <rPh sb="0" eb="5">
      <t>ジョセイユウケンシャ</t>
    </rPh>
    <rPh sb="5" eb="7">
      <t>ダンタイ</t>
    </rPh>
    <phoneticPr fontId="1"/>
  </si>
  <si>
    <t>短期大学生</t>
    <rPh sb="0" eb="5">
      <t>タンキダイガクセイ</t>
    </rPh>
    <phoneticPr fontId="1"/>
  </si>
  <si>
    <t>経営者団体</t>
    <rPh sb="0" eb="3">
      <t>ケイエイシャ</t>
    </rPh>
    <rPh sb="3" eb="5">
      <t>ダンタイ</t>
    </rPh>
    <phoneticPr fontId="1"/>
  </si>
  <si>
    <t>大学教授、研究者、専門職等</t>
    <rPh sb="0" eb="4">
      <t>ダイガクキョウジュ</t>
    </rPh>
    <rPh sb="5" eb="8">
      <t>ケンキュウシャ</t>
    </rPh>
    <rPh sb="9" eb="12">
      <t>センモンショク</t>
    </rPh>
    <rPh sb="12" eb="13">
      <t>ナド</t>
    </rPh>
    <phoneticPr fontId="1"/>
  </si>
  <si>
    <t>食品着色料</t>
    <rPh sb="0" eb="2">
      <t>ショクヒン</t>
    </rPh>
    <rPh sb="2" eb="5">
      <t>チャクショクリョウ</t>
    </rPh>
    <phoneticPr fontId="1"/>
  </si>
  <si>
    <t>データ数</t>
    <rPh sb="3" eb="4">
      <t>スウ</t>
    </rPh>
    <phoneticPr fontId="1"/>
  </si>
  <si>
    <t>(1-2)^2</t>
    <phoneticPr fontId="1"/>
  </si>
  <si>
    <t>合計</t>
    <rPh sb="0" eb="2">
      <t>ゴウケイ</t>
    </rPh>
    <phoneticPr fontId="1"/>
  </si>
  <si>
    <t>スピアマン</t>
    <phoneticPr fontId="1"/>
  </si>
  <si>
    <t>ケンドール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</si>
</sst>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3">
    <xf numFmtId="0" fontId="0" fillId="0" borderId="0" xfId="0">
      <alignment vertical="center"/>
    </xf>
    <xf numFmtId="56" fontId="0" fillId="0" borderId="0" xfId="0" quotePrefix="1" applyNumberFormat="1">
      <alignment vertical="center"/>
    </xf>
    <xf numFmtId="9" fontId="0" fillId="0" borderId="0" xfId="1" applyFont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90B9B-6238-43C1-BD4F-97A9F81FFBD5}">
  <sheetPr codeName="Sheet1"/>
  <dimension ref="A2:L38"/>
  <sheetViews>
    <sheetView tabSelected="1" workbookViewId="0">
      <selection activeCell="I12" sqref="I12"/>
    </sheetView>
  </sheetViews>
  <sheetFormatPr defaultRowHeight="18.75" x14ac:dyDescent="0.4"/>
  <cols>
    <col min="1" max="1" width="15.125" bestFit="1" customWidth="1"/>
    <col min="6" max="6" width="9.375" bestFit="1" customWidth="1"/>
    <col min="8" max="8" width="16.5" customWidth="1"/>
    <col min="9" max="9" width="14.25" customWidth="1"/>
    <col min="10" max="11" width="11" bestFit="1" customWidth="1"/>
    <col min="12" max="12" width="11" customWidth="1"/>
  </cols>
  <sheetData>
    <row r="2" spans="1:12" x14ac:dyDescent="0.4">
      <c r="B2">
        <v>1</v>
      </c>
      <c r="C2">
        <v>2</v>
      </c>
      <c r="D2">
        <v>3</v>
      </c>
      <c r="E2">
        <v>4</v>
      </c>
      <c r="F2" s="1" t="s">
        <v>35</v>
      </c>
    </row>
    <row r="3" spans="1:12" x14ac:dyDescent="0.4">
      <c r="B3" t="s">
        <v>29</v>
      </c>
      <c r="C3" t="s">
        <v>30</v>
      </c>
      <c r="D3" t="s">
        <v>31</v>
      </c>
      <c r="E3" t="s">
        <v>32</v>
      </c>
    </row>
    <row r="4" spans="1:12" x14ac:dyDescent="0.4">
      <c r="A4" t="s">
        <v>0</v>
      </c>
      <c r="B4">
        <v>1</v>
      </c>
      <c r="C4">
        <v>1</v>
      </c>
      <c r="D4">
        <v>8</v>
      </c>
      <c r="E4">
        <v>20</v>
      </c>
      <c r="F4">
        <f>(B4-C4)^2</f>
        <v>0</v>
      </c>
      <c r="H4" t="s">
        <v>37</v>
      </c>
    </row>
    <row r="5" spans="1:12" x14ac:dyDescent="0.4">
      <c r="A5" t="s">
        <v>1</v>
      </c>
      <c r="B5">
        <v>2</v>
      </c>
      <c r="C5">
        <v>5</v>
      </c>
      <c r="D5">
        <v>3</v>
      </c>
      <c r="E5">
        <v>1</v>
      </c>
      <c r="F5">
        <f t="shared" ref="F5:F33" si="0">(B5-C5)^2</f>
        <v>9</v>
      </c>
      <c r="I5" t="s">
        <v>29</v>
      </c>
      <c r="J5" t="s">
        <v>30</v>
      </c>
      <c r="K5" t="s">
        <v>31</v>
      </c>
      <c r="L5" t="s">
        <v>32</v>
      </c>
    </row>
    <row r="6" spans="1:12" x14ac:dyDescent="0.4">
      <c r="A6" t="s">
        <v>2</v>
      </c>
      <c r="B6">
        <v>3</v>
      </c>
      <c r="C6">
        <v>2</v>
      </c>
      <c r="D6">
        <v>1</v>
      </c>
      <c r="E6">
        <v>4</v>
      </c>
      <c r="F6">
        <f t="shared" si="0"/>
        <v>1</v>
      </c>
      <c r="H6" t="s">
        <v>29</v>
      </c>
      <c r="I6" s="2"/>
      <c r="J6" s="2" cm="1">
        <f t="array" ref="J6">Kendol($B$4:$B$33,C4:C33)</f>
        <v>0.66436781609195406</v>
      </c>
      <c r="K6" s="2" cm="1">
        <f t="array" ref="K6">Kendol($B$4:$B$33,D4:D33)</f>
        <v>0.76551724137931032</v>
      </c>
      <c r="L6" s="2" cm="1">
        <f t="array" ref="L6">Kendol($B$4:$B$33,E4:E33)</f>
        <v>0.43908045977011495</v>
      </c>
    </row>
    <row r="7" spans="1:12" x14ac:dyDescent="0.4">
      <c r="A7" t="s">
        <v>3</v>
      </c>
      <c r="B7">
        <v>4</v>
      </c>
      <c r="C7">
        <v>3</v>
      </c>
      <c r="D7">
        <v>4</v>
      </c>
      <c r="E7">
        <v>2</v>
      </c>
      <c r="F7">
        <f t="shared" si="0"/>
        <v>1</v>
      </c>
      <c r="H7" t="s">
        <v>30</v>
      </c>
      <c r="I7" s="2" cm="1">
        <f t="array" ref="I7">Kendol($C$4:$C$33,B4:B33)</f>
        <v>0.66436781609195406</v>
      </c>
      <c r="J7" s="2"/>
      <c r="K7" s="2" cm="1">
        <f t="array" ref="K7">Kendol($C$4:$C$33,D4:D33)</f>
        <v>0.49885057471264366</v>
      </c>
      <c r="L7" s="2" cm="1">
        <f t="array" ref="L7">Kendol($C$4:$C$33,E4:E33)</f>
        <v>0.46206896551724136</v>
      </c>
    </row>
    <row r="8" spans="1:12" x14ac:dyDescent="0.4">
      <c r="A8" t="s">
        <v>4</v>
      </c>
      <c r="B8">
        <v>5</v>
      </c>
      <c r="C8">
        <v>6</v>
      </c>
      <c r="D8">
        <v>2</v>
      </c>
      <c r="E8">
        <v>6</v>
      </c>
      <c r="F8">
        <f t="shared" si="0"/>
        <v>1</v>
      </c>
      <c r="H8" t="s">
        <v>31</v>
      </c>
      <c r="I8" s="2" cm="1">
        <f t="array" ref="I8">Kendol($D$4:$D$33,B4:B33)</f>
        <v>0.76551724137931032</v>
      </c>
      <c r="J8" s="2" cm="1">
        <f t="array" ref="J8">Kendol($D$4:$D$33,C4:C33)</f>
        <v>0.49885057471264366</v>
      </c>
      <c r="K8" s="2"/>
      <c r="L8" s="2" cm="1">
        <f t="array" ref="L8">Kendol($D$4:$D$33,E4:E33)</f>
        <v>0.35632183908045978</v>
      </c>
    </row>
    <row r="9" spans="1:12" x14ac:dyDescent="0.4">
      <c r="A9" t="s">
        <v>5</v>
      </c>
      <c r="B9">
        <v>6</v>
      </c>
      <c r="C9">
        <v>7</v>
      </c>
      <c r="D9">
        <v>5</v>
      </c>
      <c r="E9">
        <v>3</v>
      </c>
      <c r="F9">
        <f t="shared" si="0"/>
        <v>1</v>
      </c>
      <c r="H9" t="s">
        <v>32</v>
      </c>
      <c r="I9" s="2" cm="1">
        <f t="array" ref="I9">Kendol($E$4:$E$33,B4:B33)</f>
        <v>0.43908045977011495</v>
      </c>
      <c r="J9" s="2" cm="1">
        <f t="array" ref="J9">Kendol($E$4:$E$33,C4:C33)</f>
        <v>0.46206896551724136</v>
      </c>
      <c r="K9" s="2" cm="1">
        <f t="array" ref="K9">Kendol($E$4:$E$33,D4:D33)</f>
        <v>0.35632183908045978</v>
      </c>
      <c r="L9" s="2"/>
    </row>
    <row r="10" spans="1:12" x14ac:dyDescent="0.4">
      <c r="A10" t="s">
        <v>6</v>
      </c>
      <c r="B10">
        <v>7</v>
      </c>
      <c r="C10">
        <v>15</v>
      </c>
      <c r="D10">
        <v>11</v>
      </c>
      <c r="E10">
        <v>12</v>
      </c>
      <c r="F10">
        <f t="shared" si="0"/>
        <v>64</v>
      </c>
    </row>
    <row r="11" spans="1:12" x14ac:dyDescent="0.4">
      <c r="A11" t="s">
        <v>7</v>
      </c>
      <c r="B11">
        <v>8</v>
      </c>
      <c r="C11">
        <v>8</v>
      </c>
      <c r="D11">
        <v>7</v>
      </c>
      <c r="E11">
        <v>17</v>
      </c>
      <c r="F11">
        <f t="shared" si="0"/>
        <v>0</v>
      </c>
    </row>
    <row r="12" spans="1:12" x14ac:dyDescent="0.4">
      <c r="A12" t="s">
        <v>8</v>
      </c>
      <c r="B12">
        <v>9</v>
      </c>
      <c r="C12">
        <v>4</v>
      </c>
      <c r="D12">
        <v>15</v>
      </c>
      <c r="E12">
        <v>8</v>
      </c>
      <c r="F12">
        <f t="shared" si="0"/>
        <v>25</v>
      </c>
    </row>
    <row r="13" spans="1:12" x14ac:dyDescent="0.4">
      <c r="A13" t="s">
        <v>9</v>
      </c>
      <c r="B13">
        <v>10</v>
      </c>
      <c r="C13">
        <v>11</v>
      </c>
      <c r="D13">
        <v>9</v>
      </c>
      <c r="E13">
        <v>5</v>
      </c>
      <c r="F13">
        <f t="shared" si="0"/>
        <v>1</v>
      </c>
    </row>
    <row r="14" spans="1:12" x14ac:dyDescent="0.4">
      <c r="A14" t="s">
        <v>10</v>
      </c>
      <c r="B14">
        <v>11</v>
      </c>
      <c r="C14">
        <v>10</v>
      </c>
      <c r="D14">
        <v>6</v>
      </c>
      <c r="E14">
        <v>18</v>
      </c>
      <c r="F14">
        <f t="shared" si="0"/>
        <v>1</v>
      </c>
    </row>
    <row r="15" spans="1:12" x14ac:dyDescent="0.4">
      <c r="A15" t="s">
        <v>11</v>
      </c>
      <c r="B15">
        <v>12</v>
      </c>
      <c r="C15">
        <v>14</v>
      </c>
      <c r="D15">
        <v>13</v>
      </c>
      <c r="E15">
        <v>13</v>
      </c>
      <c r="F15">
        <f t="shared" si="0"/>
        <v>4</v>
      </c>
    </row>
    <row r="16" spans="1:12" x14ac:dyDescent="0.4">
      <c r="A16" t="s">
        <v>12</v>
      </c>
      <c r="B16">
        <v>13</v>
      </c>
      <c r="C16">
        <v>18</v>
      </c>
      <c r="D16">
        <v>10</v>
      </c>
      <c r="E16">
        <v>23</v>
      </c>
      <c r="F16">
        <f t="shared" si="0"/>
        <v>25</v>
      </c>
    </row>
    <row r="17" spans="1:6" x14ac:dyDescent="0.4">
      <c r="A17" t="s">
        <v>13</v>
      </c>
      <c r="B17">
        <v>14</v>
      </c>
      <c r="C17">
        <v>13</v>
      </c>
      <c r="D17">
        <v>22</v>
      </c>
      <c r="E17">
        <v>26</v>
      </c>
      <c r="F17">
        <f t="shared" si="0"/>
        <v>1</v>
      </c>
    </row>
    <row r="18" spans="1:6" x14ac:dyDescent="0.4">
      <c r="A18" t="s">
        <v>14</v>
      </c>
      <c r="B18">
        <v>15</v>
      </c>
      <c r="C18">
        <v>22</v>
      </c>
      <c r="D18">
        <v>12</v>
      </c>
      <c r="E18">
        <v>29</v>
      </c>
      <c r="F18">
        <f t="shared" si="0"/>
        <v>49</v>
      </c>
    </row>
    <row r="19" spans="1:6" x14ac:dyDescent="0.4">
      <c r="A19" t="s">
        <v>15</v>
      </c>
      <c r="B19">
        <v>16</v>
      </c>
      <c r="C19">
        <v>24</v>
      </c>
      <c r="D19">
        <v>14</v>
      </c>
      <c r="E19">
        <v>15</v>
      </c>
      <c r="F19">
        <f t="shared" si="0"/>
        <v>64</v>
      </c>
    </row>
    <row r="20" spans="1:6" x14ac:dyDescent="0.4">
      <c r="A20" t="s">
        <v>16</v>
      </c>
      <c r="B20">
        <v>17</v>
      </c>
      <c r="C20">
        <v>16</v>
      </c>
      <c r="D20">
        <v>18</v>
      </c>
      <c r="E20">
        <v>16</v>
      </c>
      <c r="F20">
        <f t="shared" si="0"/>
        <v>1</v>
      </c>
    </row>
    <row r="21" spans="1:6" x14ac:dyDescent="0.4">
      <c r="A21" t="s">
        <v>17</v>
      </c>
      <c r="B21">
        <v>18</v>
      </c>
      <c r="C21">
        <v>19</v>
      </c>
      <c r="D21">
        <v>19</v>
      </c>
      <c r="E21">
        <v>9</v>
      </c>
      <c r="F21">
        <f t="shared" si="0"/>
        <v>1</v>
      </c>
    </row>
    <row r="22" spans="1:6" x14ac:dyDescent="0.4">
      <c r="A22" t="s">
        <v>18</v>
      </c>
      <c r="B22">
        <v>19</v>
      </c>
      <c r="C22">
        <v>30</v>
      </c>
      <c r="D22">
        <v>17</v>
      </c>
      <c r="E22">
        <v>10</v>
      </c>
      <c r="F22">
        <f t="shared" si="0"/>
        <v>121</v>
      </c>
    </row>
    <row r="23" spans="1:6" x14ac:dyDescent="0.4">
      <c r="A23" t="s">
        <v>19</v>
      </c>
      <c r="B23">
        <v>20</v>
      </c>
      <c r="C23">
        <v>9</v>
      </c>
      <c r="D23">
        <v>22</v>
      </c>
      <c r="E23">
        <v>11</v>
      </c>
      <c r="F23">
        <f t="shared" si="0"/>
        <v>121</v>
      </c>
    </row>
    <row r="24" spans="1:6" x14ac:dyDescent="0.4">
      <c r="A24" t="s">
        <v>20</v>
      </c>
      <c r="B24">
        <v>21</v>
      </c>
      <c r="C24">
        <v>25</v>
      </c>
      <c r="D24">
        <v>16</v>
      </c>
      <c r="E24">
        <v>30</v>
      </c>
      <c r="F24">
        <f t="shared" si="0"/>
        <v>16</v>
      </c>
    </row>
    <row r="25" spans="1:6" x14ac:dyDescent="0.4">
      <c r="A25" t="s">
        <v>21</v>
      </c>
      <c r="B25">
        <v>22</v>
      </c>
      <c r="C25">
        <v>17</v>
      </c>
      <c r="D25">
        <v>24</v>
      </c>
      <c r="E25">
        <v>7</v>
      </c>
      <c r="F25">
        <f t="shared" si="0"/>
        <v>25</v>
      </c>
    </row>
    <row r="26" spans="1:6" x14ac:dyDescent="0.4">
      <c r="A26" t="s">
        <v>22</v>
      </c>
      <c r="B26">
        <v>23</v>
      </c>
      <c r="C26">
        <v>26</v>
      </c>
      <c r="D26">
        <v>21</v>
      </c>
      <c r="E26">
        <v>27</v>
      </c>
      <c r="F26">
        <f t="shared" si="0"/>
        <v>9</v>
      </c>
    </row>
    <row r="27" spans="1:6" x14ac:dyDescent="0.4">
      <c r="A27" t="s">
        <v>23</v>
      </c>
      <c r="B27">
        <v>24</v>
      </c>
      <c r="C27">
        <v>23</v>
      </c>
      <c r="D27">
        <v>20</v>
      </c>
      <c r="E27">
        <v>19</v>
      </c>
      <c r="F27">
        <f t="shared" si="0"/>
        <v>1</v>
      </c>
    </row>
    <row r="28" spans="1:6" x14ac:dyDescent="0.4">
      <c r="A28" t="s">
        <v>24</v>
      </c>
      <c r="B28">
        <v>25</v>
      </c>
      <c r="C28">
        <v>12</v>
      </c>
      <c r="D28">
        <v>28</v>
      </c>
      <c r="E28">
        <v>14</v>
      </c>
      <c r="F28">
        <f t="shared" si="0"/>
        <v>169</v>
      </c>
    </row>
    <row r="29" spans="1:6" x14ac:dyDescent="0.4">
      <c r="A29" t="s">
        <v>33</v>
      </c>
      <c r="B29">
        <v>26</v>
      </c>
      <c r="C29">
        <v>20</v>
      </c>
      <c r="D29">
        <v>30</v>
      </c>
      <c r="E29">
        <v>21</v>
      </c>
      <c r="F29">
        <f t="shared" si="0"/>
        <v>36</v>
      </c>
    </row>
    <row r="30" spans="1:6" x14ac:dyDescent="0.4">
      <c r="A30" t="s">
        <v>25</v>
      </c>
      <c r="B30">
        <v>27</v>
      </c>
      <c r="C30">
        <v>28</v>
      </c>
      <c r="D30">
        <v>25</v>
      </c>
      <c r="E30">
        <v>28</v>
      </c>
      <c r="F30">
        <f t="shared" si="0"/>
        <v>1</v>
      </c>
    </row>
    <row r="31" spans="1:6" x14ac:dyDescent="0.4">
      <c r="A31" t="s">
        <v>26</v>
      </c>
      <c r="B31">
        <v>28</v>
      </c>
      <c r="C31">
        <v>21</v>
      </c>
      <c r="D31">
        <v>26</v>
      </c>
      <c r="E31">
        <v>24</v>
      </c>
      <c r="F31">
        <f t="shared" si="0"/>
        <v>49</v>
      </c>
    </row>
    <row r="32" spans="1:6" x14ac:dyDescent="0.4">
      <c r="A32" t="s">
        <v>27</v>
      </c>
      <c r="B32">
        <v>29</v>
      </c>
      <c r="C32">
        <v>27</v>
      </c>
      <c r="D32">
        <v>27</v>
      </c>
      <c r="E32">
        <v>22</v>
      </c>
      <c r="F32">
        <f t="shared" si="0"/>
        <v>4</v>
      </c>
    </row>
    <row r="33" spans="1:6" x14ac:dyDescent="0.4">
      <c r="A33" t="s">
        <v>28</v>
      </c>
      <c r="B33">
        <v>30</v>
      </c>
      <c r="C33">
        <v>29</v>
      </c>
      <c r="D33">
        <v>29</v>
      </c>
      <c r="E33">
        <v>25</v>
      </c>
      <c r="F33">
        <f t="shared" si="0"/>
        <v>1</v>
      </c>
    </row>
    <row r="35" spans="1:6" x14ac:dyDescent="0.4">
      <c r="A35" t="s">
        <v>36</v>
      </c>
      <c r="F35">
        <f>SUM(F$4:F$33)</f>
        <v>802</v>
      </c>
    </row>
    <row r="36" spans="1:6" x14ac:dyDescent="0.4">
      <c r="A36" t="s">
        <v>34</v>
      </c>
      <c r="B36">
        <f>COUNTA(B$4:B$33)</f>
        <v>30</v>
      </c>
    </row>
    <row r="37" spans="1:6" x14ac:dyDescent="0.4">
      <c r="A37" t="s">
        <v>37</v>
      </c>
      <c r="F37">
        <f>1-(6*F35)/($B$36^3-$B$36)</f>
        <v>0.82157953281423801</v>
      </c>
    </row>
    <row r="38" spans="1:6" x14ac:dyDescent="0.4">
      <c r="A38" t="s">
        <v>38</v>
      </c>
      <c r="F38" cm="1">
        <f t="array" ref="F38">Kendol(B4:B33,C4:C33)</f>
        <v>0.66436781609195406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tarou itirou</dc:creator>
  <cp:lastModifiedBy>tarou itirou</cp:lastModifiedBy>
  <dcterms:created xsi:type="dcterms:W3CDTF">2020-09-30T06:58:57Z</dcterms:created>
  <dcterms:modified xsi:type="dcterms:W3CDTF">2020-10-02T23:55:53Z</dcterms:modified>
</cp:coreProperties>
</file>